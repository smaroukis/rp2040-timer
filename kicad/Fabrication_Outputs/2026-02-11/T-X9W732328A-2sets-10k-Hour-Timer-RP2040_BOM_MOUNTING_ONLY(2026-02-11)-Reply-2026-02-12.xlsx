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<sst xmlns="http://schemas.openxmlformats.org/spreadsheetml/2006/main" count="333" uniqueCount="251">
  <si>
    <t xml:space="preserve">PCBWay Bom Quotation, Product No.:T-X9W732328A</t>
  </si>
  <si>
    <t xml:space="preserve">Item #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</si>
  <si>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Designator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</si>
  <si>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Qty</t>
    </r>
  </si>
  <si>
    <t xml:space="preserve">Manufacturer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</si>
  <si>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Mfg Part #</t>
    </r>
  </si>
  <si>
    <t xml:space="preserve">Description / Value</t>
  </si>
  <si>
    <t xml:space="preserve">Vendor Part #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</si>
  <si>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Package/Footprint</t>
    </r>
  </si>
  <si>
    <t xml:space="preserve">Your Instructions / Notes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</si>
  <si>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Unit Price(2 sets)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</si>
  <si>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Total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</si>
  <si>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Delivery Time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</si>
  <si>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Actual Purchase Mfg Part #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</si>
  <si>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PCBWay Note</t>
    </r>
  </si>
  <si>
    <t xml:space="preserve">Customer Reply</t>
  </si>
  <si>
    <t xml:space="preserve">PCBWay Update</t>
  </si>
  <si>
    <t xml:space="preserve">C1</t>
  </si>
  <si>
    <r>
      <rPr>
        <sz val="10"/>
        <rFont val="Arial"/>
        <family val="2"/>
      </rPr>
      <t xml:space="preserve">01A-USB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10n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</si>
  <si>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r>
      <rPr>
        <sz val="10"/>
        <rFont val="Arial"/>
        <family val="2"/>
      </rPr>
      <t xml:space="preserve">Capacitor_SMD:C_0603_1608Metric_Pad1.08x0.95mm_HandSolder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603</t>
    </r>
  </si>
  <si>
    <t xml:space="preserve">CC0603KRX7R6BB103</t>
  </si>
  <si>
    <t xml:space="preserve">OK</t>
  </si>
  <si>
    <t xml:space="preserve">C2,C13,C15,C16,C18,C19,C21,C22,C24,C26,C28</t>
  </si>
  <si>
    <r>
      <rPr>
        <sz val="10"/>
        <rFont val="Arial"/>
        <family val="2"/>
      </rPr>
      <t xml:space="preserve">01A-USB,05-MCU-XTAL-FLASH,06-MCU-IO,07-RTC,08-LED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100n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</si>
  <si>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t xml:space="preserve">CC0603KRX7R9BB104</t>
  </si>
  <si>
    <t xml:space="preserve">C3,C4,C6,C25</t>
  </si>
  <si>
    <t xml:space="preserve">CL10A475KO8NNNC</t>
  </si>
  <si>
    <r>
      <rPr>
        <sz val="10"/>
        <rFont val="Arial"/>
        <family val="2"/>
      </rPr>
      <t xml:space="preserve">Note for PCBA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02-DCDC,03-Charger,07-RTC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4.7u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</si>
  <si>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t xml:space="preserve">C19666</t>
  </si>
  <si>
    <t xml:space="preserve">https://jlcpcb.com/partdetail/20375-CL10A475KO8NNNC/C19666</t>
  </si>
  <si>
    <t xml:space="preserve">C5</t>
  </si>
  <si>
    <r>
      <rPr>
        <sz val="10"/>
        <rFont val="Arial"/>
        <family val="2"/>
      </rPr>
      <t xml:space="preserve">04-Batt-Prot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0.1u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</si>
  <si>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t xml:space="preserve">C7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</si>
  <si>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470n</t>
    </r>
  </si>
  <si>
    <t xml:space="preserve">CC0603KRX7R8BB474</t>
  </si>
  <si>
    <t xml:space="preserve">C8</t>
  </si>
  <si>
    <t xml:space="preserve">Samsung Electro-Mechanics</t>
  </si>
  <si>
    <t xml:space="preserve">CL10A226MQ8NRNC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</si>
  <si>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22u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6.3V 22uF X5R ±20% 0603 Multilayer Ceramic Capacitors MLCC - SMD/SMT ROHS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</si>
  <si>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C59461</t>
    </r>
  </si>
  <si>
    <t xml:space="preserve">https://jlcpcb.com/partdetail/60514-CL10A226MQ8NRNC/C59461</t>
  </si>
  <si>
    <t xml:space="preserve">C9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</si>
  <si>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6.8p</t>
    </r>
  </si>
  <si>
    <t xml:space="preserve">TCC0603COG6R8C500CT</t>
  </si>
  <si>
    <t xml:space="preserve">C10,C11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</si>
  <si>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15p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</si>
  <si>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t xml:space="preserve">CC0603JRNPO9BN150</t>
  </si>
  <si>
    <t xml:space="preserve">C12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</si>
  <si>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2.2u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</si>
  <si>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t xml:space="preserve">CL10A225KP8NNNC</t>
  </si>
  <si>
    <t xml:space="preserve">C14,C17,C20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</si>
  <si>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1u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</si>
  <si>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t xml:space="preserve">TCC0603X5R105K250CT</t>
  </si>
  <si>
    <t xml:space="preserve">C23,C27</t>
  </si>
  <si>
    <t xml:space="preserve">CL31A107MQHNNNE</t>
  </si>
  <si>
    <r>
      <rPr>
        <sz val="10"/>
        <rFont val="Arial"/>
        <family val="2"/>
      </rPr>
      <t xml:space="preserve">08-LED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100u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Unpolarized capacitor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</si>
  <si>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C15008</t>
    </r>
  </si>
  <si>
    <r>
      <rPr>
        <sz val="10"/>
        <rFont val="Arial"/>
        <family val="2"/>
      </rPr>
      <t xml:space="preserve">Capacitor_SMD:C_1206_3216Metric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1206</t>
    </r>
  </si>
  <si>
    <t xml:space="preserve">https://lcsc.com/product-detail/Multilayer-Ceramic-Capacitors-MLCC-SMD-SMT_Samsung-Electro-Mechanics-CL31A107MQHNNNE_C15008.html</t>
  </si>
  <si>
    <t xml:space="preserve">Y2</t>
  </si>
  <si>
    <t xml:space="preserve">Abracon LLC</t>
  </si>
  <si>
    <t xml:space="preserve">ABS07AIG-32.768KHZ-7-T</t>
  </si>
  <si>
    <r>
      <rPr>
        <sz val="10"/>
        <rFont val="Arial"/>
        <family val="2"/>
      </rPr>
      <t xml:space="preserve">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ABS07AIG-32.768KHZ-7-T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32.768 kHz ±20ppm </t>
    </r>
    <r>
      <rPr>
        <sz val="10"/>
        <rFont val="宋体"/>
        <family val="0"/>
      </rPr>
      <t xml:space="preserve">水晶振動子 </t>
    </r>
    <r>
      <rPr>
        <sz val="10"/>
        <rFont val="Arial"/>
        <family val="2"/>
      </rPr>
      <t xml:space="preserve">7pF 80 kOhms 2-SMD</t>
    </r>
    <r>
      <rPr>
        <sz val="10"/>
        <rFont val="宋体"/>
        <family val="0"/>
      </rPr>
      <t xml:space="preserve">、リードなし</t>
    </r>
  </si>
  <si>
    <r>
      <rPr>
        <sz val="10"/>
        <rFont val="Arial"/>
        <family val="2"/>
      </rPr>
      <t xml:space="preserve">Digikey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535-13350-1-ND</t>
    </r>
  </si>
  <si>
    <r>
      <rPr>
        <sz val="10"/>
        <rFont val="Arial"/>
        <family val="2"/>
      </rPr>
      <t xml:space="preserve">Crystal:Crystal_SMD_3215-2Pin_3.2x1.5mm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2-SMD</t>
    </r>
    <r>
      <rPr>
        <sz val="10"/>
        <rFont val="宋体"/>
        <family val="0"/>
      </rPr>
      <t xml:space="preserve">（</t>
    </r>
    <r>
      <rPr>
        <sz val="10"/>
        <rFont val="Arial"/>
        <family val="2"/>
      </rPr>
      <t xml:space="preserve">3.2x1.5</t>
    </r>
    <r>
      <rPr>
        <sz val="10"/>
        <rFont val="宋体"/>
        <family val="0"/>
      </rPr>
      <t xml:space="preserve">）</t>
    </r>
  </si>
  <si>
    <t xml:space="preserve">https://www.digikey.jp/ja/products/detail/abracon-llc/ABS07AIG-32.768KHZ-7-T/5817604?gclsrc=aw.ds&amp;gad_source=1&amp;gad_campaignid=20220851003</t>
  </si>
  <si>
    <t xml:space="preserve">ABS07AIG-32.768kHz-7-T</t>
  </si>
  <si>
    <t xml:space="preserve">D4</t>
  </si>
  <si>
    <t xml:space="preserve">onsemi</t>
  </si>
  <si>
    <t xml:space="preserve">SS14 (Generic)</t>
  </si>
  <si>
    <r>
      <rPr>
        <sz val="10"/>
        <rFont val="Arial"/>
        <family val="2"/>
      </rPr>
      <t xml:space="preserve">01A-Power-Mux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SS14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40V 1A Schottky Diode, SMA</t>
    </r>
  </si>
  <si>
    <r>
      <rPr>
        <sz val="10"/>
        <rFont val="Arial"/>
        <family val="2"/>
      </rPr>
      <t xml:space="preserve">Generic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C83852</t>
    </r>
  </si>
  <si>
    <r>
      <rPr>
        <sz val="10"/>
        <rFont val="Arial"/>
        <family val="2"/>
      </rPr>
      <t xml:space="preserve">Diode_SMD:D_SMA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SMA(DO-214AC)</t>
    </r>
  </si>
  <si>
    <t xml:space="preserve">https://lcsc.com/product-detail/Schottky-Diodes_onsemi-SS14_C83852.html?s_z=n_ss14</t>
  </si>
  <si>
    <t xml:space="preserve">SS14</t>
  </si>
  <si>
    <t xml:space="preserve">D3</t>
  </si>
  <si>
    <t xml:space="preserve">Nexperia</t>
  </si>
  <si>
    <t xml:space="preserve">PMEG1020EA,115</t>
  </si>
  <si>
    <r>
      <rPr>
        <sz val="10"/>
        <rFont val="Arial"/>
        <family val="2"/>
      </rPr>
      <t xml:space="preserve">01A-Power-Mux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SOD-323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10V 460mV@2A 2A SOD-323 Schottky Diodes ROHS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</si>
  <si>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C426863</t>
    </r>
  </si>
  <si>
    <r>
      <rPr>
        <sz val="10"/>
        <rFont val="Arial"/>
        <family val="2"/>
      </rPr>
      <t xml:space="preserve">Diode_SMD:D_SOD-323_HandSoldering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SOD-323</t>
    </r>
  </si>
  <si>
    <t xml:space="preserve">https://lcsc.com/product-detail/Schottky-Diodes_Nexperia-PMEG1020EA-115_C426863.html</t>
  </si>
  <si>
    <t xml:space="preserve">D1</t>
  </si>
  <si>
    <t xml:space="preserve">Hubei KENTO Elec</t>
  </si>
  <si>
    <t xml:space="preserve">KT-0805G</t>
  </si>
  <si>
    <r>
      <rPr>
        <sz val="10"/>
        <rFont val="Arial"/>
        <family val="2"/>
      </rPr>
      <t xml:space="preserve">01A-Power-Mux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BATT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Light emitting diode, green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</si>
  <si>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C2297</t>
    </r>
  </si>
  <si>
    <r>
      <rPr>
        <sz val="10"/>
        <rFont val="Arial"/>
        <family val="2"/>
      </rPr>
      <t xml:space="preserve">LED_SMD:LED_0805_2012Metric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805</t>
    </r>
  </si>
  <si>
    <t xml:space="preserve">https://lcsc.com/product-detail/LED-Indication-Discrete_Hubei-KENTO-Elec-KT-0805G_C2297.html?s_z=n_KT-0805G</t>
  </si>
  <si>
    <t xml:space="preserve">D2</t>
  </si>
  <si>
    <r>
      <rPr>
        <sz val="10"/>
        <rFont val="Arial"/>
        <family val="2"/>
      </rPr>
      <t xml:space="preserve">01A-Power-Mux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5V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Light emitting diode, green</t>
    </r>
  </si>
  <si>
    <t xml:space="preserve">D5</t>
  </si>
  <si>
    <r>
      <rPr>
        <sz val="10"/>
        <rFont val="Arial"/>
        <family val="2"/>
      </rPr>
      <t xml:space="preserve">03-Charger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GRN/DONE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Light emitting diode, green</t>
    </r>
  </si>
  <si>
    <t xml:space="preserve">D6</t>
  </si>
  <si>
    <t xml:space="preserve">Foshan NationStar Optoelectronics</t>
  </si>
  <si>
    <t xml:space="preserve">NCD0805R1</t>
  </si>
  <si>
    <r>
      <rPr>
        <sz val="10"/>
        <rFont val="Arial"/>
        <family val="2"/>
      </rPr>
      <t xml:space="preserve">03-Charger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RED/CHG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25mA 67mcd~195mcd -30℃~+85℃ 615nm~630nm Discrete Diode Red 130° 65mW 1.6V~2.6V 0805 LED Indication - Discrete ROHS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</si>
  <si>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C84256</t>
    </r>
  </si>
  <si>
    <t xml:space="preserve">https://lcsc.com/product-detail/Light-Emitting-Diodes-LED_Foshan-NationStar-Optoelectronics-NCD0805R1_C84256.html</t>
  </si>
  <si>
    <t xml:space="preserve">D8</t>
  </si>
  <si>
    <r>
      <rPr>
        <sz val="10"/>
        <rFont val="Arial"/>
        <family val="2"/>
      </rPr>
      <t xml:space="preserve">01A-Power-Mux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3V3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Light emitting diode</t>
    </r>
  </si>
  <si>
    <t xml:space="preserve">D9</t>
  </si>
  <si>
    <r>
      <rPr>
        <sz val="10"/>
        <rFont val="Arial"/>
        <family val="2"/>
      </rPr>
      <t xml:space="preserve">06-MCU-IO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RED/USER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25mA 67mcd~195mcd -30℃~+85℃ 615nm~630nm Discrete Diode Red 130° 65mW 1.6V~2.6V 0805 LED Indication - Discrete ROHS</t>
    </r>
  </si>
  <si>
    <t xml:space="preserve">D10</t>
  </si>
  <si>
    <r>
      <rPr>
        <sz val="10"/>
        <rFont val="Arial"/>
        <family val="2"/>
      </rPr>
      <t xml:space="preserve">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RED/INT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25mA 67mcd~195mcd -30℃~+85℃ 615nm~630nm Discrete Diode Red 130° 65mW 1.6V~2.6V 0805 LED Indication - Discrete ROHS</t>
    </r>
  </si>
  <si>
    <t xml:space="preserve">U6</t>
  </si>
  <si>
    <t xml:space="preserve">Raspberry Pi</t>
  </si>
  <si>
    <t xml:space="preserve">SC0914(13)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</si>
  <si>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RP2040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A microcontroller by Raspberry Pi</t>
    </r>
  </si>
  <si>
    <t xml:space="preserve">Digikey</t>
  </si>
  <si>
    <r>
      <rPr>
        <sz val="10"/>
        <rFont val="Arial"/>
        <family val="2"/>
      </rPr>
      <t xml:space="preserve">Package_DFN_QFN:QFN-56-1EP_7x7mm_P0.4mm_EP3.2x3.2mm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QFN-56-1EP</t>
    </r>
  </si>
  <si>
    <t xml:space="preserve">https://www.digikey.jp/en/products/detail/raspberry-pi/SC0914-13/14306010</t>
  </si>
  <si>
    <t xml:space="preserve">7-10 Workdays</t>
  </si>
  <si>
    <t xml:space="preserve">The quoted part number is [SC0914(13)], not [RP2040] as specified in description</t>
  </si>
  <si>
    <t xml:space="preserve">Yes, confirmed actual part number is SC0914(13)</t>
  </si>
  <si>
    <t xml:space="preserve">U7</t>
  </si>
  <si>
    <t xml:space="preserve">NXP</t>
  </si>
  <si>
    <t xml:space="preserve">PCF8523T/1,118</t>
  </si>
  <si>
    <r>
      <rPr>
        <sz val="10"/>
        <rFont val="Arial"/>
        <family val="2"/>
      </rPr>
      <t xml:space="preserve">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PCF8523T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Realtime Clock/Calendar I2C Interface, SOIC-8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</si>
  <si>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C2651516</t>
    </r>
  </si>
  <si>
    <r>
      <rPr>
        <sz val="10"/>
        <rFont val="Arial"/>
        <family val="2"/>
      </rPr>
      <t xml:space="preserve">Package_SO:SOIC-8_3.9x4.9mm_P1.27mm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SOP-8</t>
    </r>
  </si>
  <si>
    <t xml:space="preserve">https://lcsc.com/product-detail/Real-Time-Clocks_NXP-PCF8523T-1-118_C2651516.html?s_z=n_PCF8523T</t>
  </si>
  <si>
    <t xml:space="preserve">U5</t>
  </si>
  <si>
    <t xml:space="preserve">Winbond Elec</t>
  </si>
  <si>
    <t xml:space="preserve">W25Q128JVSIQ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</si>
  <si>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W25Q128JVS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128Mbit / 16MiB Serial Flash Memory, Standard/Dual/Quad SPI, 2.7-3.6V, SOIC-8</t>
    </r>
  </si>
  <si>
    <r>
      <rPr>
        <sz val="10"/>
        <rFont val="Arial"/>
        <family val="2"/>
      </rPr>
      <t xml:space="preserve">Digikey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C113767</t>
    </r>
  </si>
  <si>
    <r>
      <rPr>
        <sz val="10"/>
        <rFont val="Arial"/>
        <family val="2"/>
      </rPr>
      <t xml:space="preserve">Package_SO:SOIC-8_5.3x5.3mm_P1.27mm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SOIC-8</t>
    </r>
  </si>
  <si>
    <r>
      <rPr>
        <sz val="10"/>
        <rFont val="Arial"/>
        <family val="2"/>
      </rPr>
      <t xml:space="preserve">https://www.digikey.jp/en/products/detail/winbond-electronics/W25Q128JVSIQ/5803943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https://lcsc.com/product-detail/NOR-FLASH_Winbond-Elec-W25Q128JVSIQ_C113767.html?s_z=n_W25Q128JVS%2520</t>
    </r>
  </si>
  <si>
    <t xml:space="preserve">U3</t>
  </si>
  <si>
    <t xml:space="preserve">Texas Instruments</t>
  </si>
  <si>
    <t xml:space="preserve">BQ29700DSER</t>
  </si>
  <si>
    <r>
      <rPr>
        <sz val="10"/>
        <rFont val="Arial"/>
        <family val="2"/>
      </rPr>
      <t xml:space="preserve">04-Batt-Prot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BQ29700DSER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Voltage and Current Protection for Single-Cell Li-Ion and Li-Polymer Batteries</t>
    </r>
  </si>
  <si>
    <r>
      <rPr>
        <sz val="10"/>
        <rFont val="Arial"/>
        <family val="2"/>
      </rPr>
      <t xml:space="preserve">Package_SON:WSON-6_1.5x1.5mm_P0.5mm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6-WSON</t>
    </r>
  </si>
  <si>
    <t xml:space="preserve">https://www.digikey.jp/en/products/detail/texas-instruments/BQ29700DSER/5973173</t>
  </si>
  <si>
    <t xml:space="preserve">D7</t>
  </si>
  <si>
    <t xml:space="preserve">BAT54CLT1G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</si>
  <si>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BAT54C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30V 1 pair of common cathodes 800mV@100mA 200mA SOT-23 Schottky Diodes ROHS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</si>
  <si>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C14308</t>
    </r>
  </si>
  <si>
    <r>
      <rPr>
        <sz val="10"/>
        <rFont val="Arial"/>
        <family val="2"/>
      </rPr>
      <t xml:space="preserve">Package_TO_SOT_SMD:SOT-23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SOT-23</t>
    </r>
  </si>
  <si>
    <t xml:space="preserve">https://jlcpcb.com/partdetail/onsemi-BAT54CLT1G/C14308</t>
  </si>
  <si>
    <t xml:space="preserve">Q1,Q6</t>
  </si>
  <si>
    <t xml:space="preserve">Vishay</t>
  </si>
  <si>
    <t xml:space="preserve">SI2301CDS-T1-GE3</t>
  </si>
  <si>
    <r>
      <rPr>
        <sz val="10"/>
        <rFont val="Arial"/>
        <family val="2"/>
      </rPr>
      <t xml:space="preserve">01A-Power-Mux,07-RTC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PMOS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20V 3.1A 1.6W 142mΩ@2.5V,2.7A 1V@250uA 1 P-Channel SOT-23 MOSFETs ROHS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</si>
  <si>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C10487</t>
    </r>
  </si>
  <si>
    <t xml:space="preserve">https://lcsc.com/product-detail/MOSFETs_Vishay-Intertech-SI2301CDS-T1-GE3_C10487.html?s_z=n_SI2301CDS-T1-GE3</t>
  </si>
  <si>
    <t xml:space="preserve">Q2,Q3,Q4,Q5,Q7,Q8</t>
  </si>
  <si>
    <t xml:space="preserve">Alpha &amp; Omega Semicon</t>
  </si>
  <si>
    <t xml:space="preserve">AO3400A</t>
  </si>
  <si>
    <r>
      <rPr>
        <sz val="10"/>
        <rFont val="Arial"/>
        <family val="2"/>
      </rPr>
      <t xml:space="preserve">04-Batt-Prot,06-MCU-IO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AO3400A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30V Vds, 5.7A Id, N-Channel MOSFET, SOT-23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</si>
  <si>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C20917</t>
    </r>
  </si>
  <si>
    <t xml:space="preserve">https://jlcpcb.com/partdetail/Alpha_OmegaSemicon-AO3400A/C20917</t>
  </si>
  <si>
    <t xml:space="preserve">U2</t>
  </si>
  <si>
    <t xml:space="preserve">Microchip Technology</t>
  </si>
  <si>
    <t xml:space="preserve">MCP73831T-2ACI/OT</t>
  </si>
  <si>
    <r>
      <rPr>
        <sz val="10"/>
        <rFont val="Arial"/>
        <family val="2"/>
      </rPr>
      <t xml:space="preserve">03-Charger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MCP73831-2-OT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Single cell, Li-Ion/Li-Po charge management controller, 4.20V, Tri-State Status Output, in SOT23-5 package</t>
    </r>
  </si>
  <si>
    <r>
      <rPr>
        <sz val="10"/>
        <rFont val="Arial"/>
        <family val="2"/>
      </rPr>
      <t xml:space="preserve">Package_TO_SOT_SMD:SOT-23-5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SOT23-5</t>
    </r>
  </si>
  <si>
    <t xml:space="preserve">https://www.digikey.jp/en/products/detail/microchip-technology/MCP73831T-2ACI-OT/964301</t>
  </si>
  <si>
    <t xml:space="preserve">U4</t>
  </si>
  <si>
    <t xml:space="preserve">TLV62568DBVR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</si>
  <si>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TLV62568DBVR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IC REG BUCK ADJ 1A SOT23-5</t>
    </r>
  </si>
  <si>
    <t xml:space="preserve">https://www.digikey.jp/en/products/detail/texas-instruments/TLV62568DBVR/6588886</t>
  </si>
  <si>
    <t xml:space="preserve">FB1</t>
  </si>
  <si>
    <t xml:space="preserve">Murata</t>
  </si>
  <si>
    <t xml:space="preserve">BLM18SP221SN1D</t>
  </si>
  <si>
    <r>
      <rPr>
        <sz val="10"/>
        <rFont val="Arial"/>
        <family val="2"/>
      </rPr>
      <t xml:space="preserve">01A-USB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BLM18SP221SN1D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Ferrite bead</t>
    </r>
  </si>
  <si>
    <r>
      <rPr>
        <sz val="10"/>
        <rFont val="Arial"/>
        <family val="2"/>
      </rPr>
      <t xml:space="preserve">project footprints:BLM18SP221SN1D_BEADC1608X95N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603</t>
    </r>
  </si>
  <si>
    <t xml:space="preserve">https://www.digikey.jp/en/products/detail/murata-electronics/BLM18SP221SN1D/12759416</t>
  </si>
  <si>
    <t xml:space="preserve">BZ2</t>
  </si>
  <si>
    <t xml:space="preserve">PKMCS0909E4000-R1</t>
  </si>
  <si>
    <r>
      <rPr>
        <sz val="10"/>
        <rFont val="Arial"/>
        <family val="2"/>
      </rPr>
      <t xml:space="preserve">DONT INCLUDE IN PCBA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06-MCU-IO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PKMCS0909E4000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Buzzers Transducer, Externally Driven Piezo 1.5 V 4kHz 65dB @ 1.5V, 10cm Surface Mount Solder Pads</t>
    </r>
  </si>
  <si>
    <t xml:space="preserve">project footprints:Buzzer_SPKR_PKMCS0909E4000-R1</t>
  </si>
  <si>
    <t xml:space="preserve">https://www.digikey.jp/en/products/detail/murata-electronics/PKMCS0909E4000-R1/4878401?gclsrc=aw.ds&amp;gad_source=1&amp;gad_campaignid=20220851003</t>
  </si>
  <si>
    <t xml:space="preserve">L1</t>
  </si>
  <si>
    <t xml:space="preserve">Cyntec</t>
  </si>
  <si>
    <t xml:space="preserve">SDER041H-2R2MS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</si>
  <si>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2.2uH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FIXED IND 2.2UH 3.1A 45MOHM SMD</t>
    </r>
  </si>
  <si>
    <r>
      <rPr>
        <sz val="10"/>
        <rFont val="Arial"/>
        <family val="2"/>
      </rPr>
      <t xml:space="preserve">project footprints:IND_SDER041H-2R2MS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4mmx4mm</t>
    </r>
  </si>
  <si>
    <t xml:space="preserve">https://www.digikey.jp/en/products/detail/delta-electronics-cyntec/SDER041H-2R2MS/9761210</t>
  </si>
  <si>
    <t xml:space="preserve">U10</t>
  </si>
  <si>
    <t xml:space="preserve">Titan Micro Electronics</t>
  </si>
  <si>
    <t xml:space="preserve">TM1638</t>
  </si>
  <si>
    <r>
      <rPr>
        <sz val="10"/>
        <rFont val="Arial"/>
        <family val="2"/>
      </rPr>
      <t xml:space="preserve">08-LED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TM1638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SOIC-28-300mil Digital Tube Drivers ROHS Seven Segment LED Driver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</si>
  <si>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C19187</t>
    </r>
  </si>
  <si>
    <r>
      <rPr>
        <sz val="10"/>
        <rFont val="Arial"/>
        <family val="2"/>
      </rPr>
      <t xml:space="preserve">project footprints:SOIC127P1041X265-28N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SOIC-28-300mil</t>
    </r>
  </si>
  <si>
    <t xml:space="preserve">https://lcsc.com/product-detail/LED-Display-Drivers_TM-Shenzhen-Titan-Micro-Elec_C19187.html</t>
  </si>
  <si>
    <t xml:space="preserve">Y1</t>
  </si>
  <si>
    <t xml:space="preserve">ABM8-272-T3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</si>
  <si>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ABM8-272-T3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Four pin crystal, GND on pins 2 and 4</t>
    </r>
  </si>
  <si>
    <r>
      <rPr>
        <sz val="10"/>
        <rFont val="Arial"/>
        <family val="2"/>
      </rPr>
      <t xml:space="preserve">LCSC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C20625731</t>
    </r>
  </si>
  <si>
    <r>
      <rPr>
        <sz val="10"/>
        <rFont val="Arial"/>
        <family val="2"/>
      </rPr>
      <t xml:space="preserve">project footprints:XTAL_ABM8-272-T3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SMD3225-4P</t>
    </r>
  </si>
  <si>
    <t xml:space="preserve">https://lcsc.com/product-detail/Crystals_Abracon-LLC-ABM8-272-T3_C20625731.html?s_z=n_ABM8-272-T3%2520</t>
  </si>
  <si>
    <t xml:space="preserve">R4,R19,R21,R24,R25,R28,R34,R35,R36,R39,R40,R44,R45,R46,R47,R48,R49</t>
  </si>
  <si>
    <r>
      <rPr>
        <sz val="10"/>
        <rFont val="Arial"/>
        <family val="2"/>
      </rPr>
      <t xml:space="preserve">01A-Power-Mux,05-MCU-XTAL-FLASH,06-MCU-IO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</si>
  <si>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r>
      <rPr>
        <sz val="10"/>
        <rFont val="Arial"/>
        <family val="2"/>
      </rPr>
      <t xml:space="preserve">Resistor_SMD:R_0805_2012Metric_Pad1.20x1.40mm_HandSolder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805</t>
    </r>
  </si>
  <si>
    <t xml:space="preserve">RC0805FR-0710KL</t>
  </si>
  <si>
    <t xml:space="preserve">R1,R2</t>
  </si>
  <si>
    <r>
      <rPr>
        <sz val="10"/>
        <rFont val="Arial"/>
        <family val="2"/>
      </rPr>
      <t xml:space="preserve">01A-USB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5.1K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</si>
  <si>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0805W8F5101T5E</t>
  </si>
  <si>
    <t xml:space="preserve">R3,R14,R23,R26,R32,R38,R41</t>
  </si>
  <si>
    <r>
      <rPr>
        <sz val="10"/>
        <rFont val="Arial"/>
        <family val="2"/>
      </rPr>
      <t xml:space="preserve">02-DCDC,04-Batt-Prot,05-MCU-XTAL-FLASH,06-MCU-IO,07-RTC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</si>
  <si>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RC0805FR-071KL</t>
  </si>
  <si>
    <t xml:space="preserve">R5,R7,R8,R18</t>
  </si>
  <si>
    <r>
      <rPr>
        <sz val="10"/>
        <rFont val="Arial"/>
        <family val="2"/>
      </rPr>
      <t xml:space="preserve">01A-Power-Mux,03-Charger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</si>
  <si>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0805W8F2001T5E</t>
  </si>
  <si>
    <t xml:space="preserve">R6</t>
  </si>
  <si>
    <r>
      <rPr>
        <sz val="10"/>
        <rFont val="Arial"/>
        <family val="2"/>
      </rPr>
      <t xml:space="preserve">03-Charger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3K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</si>
  <si>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0805W8F3001T5E</t>
  </si>
  <si>
    <t xml:space="preserve">R9</t>
  </si>
  <si>
    <r>
      <rPr>
        <sz val="10"/>
        <rFont val="Arial"/>
        <family val="2"/>
      </rPr>
      <t xml:space="preserve">04-Batt-Prot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</si>
  <si>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pls provide exact part number</t>
  </si>
  <si>
    <t xml:space="preserve">0805W8F0000T5E</t>
  </si>
  <si>
    <t xml:space="preserve">R10</t>
  </si>
  <si>
    <r>
      <rPr>
        <sz val="10"/>
        <rFont val="Arial"/>
        <family val="2"/>
      </rPr>
      <t xml:space="preserve">04-Batt-Prot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330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</si>
  <si>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0805W8F3300T5E</t>
  </si>
  <si>
    <t xml:space="preserve">R11</t>
  </si>
  <si>
    <r>
      <rPr>
        <sz val="10"/>
        <rFont val="Arial"/>
        <family val="2"/>
      </rPr>
      <t xml:space="preserve">04-Batt-Prot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2.2K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</si>
  <si>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RC0805FR-072K2L</t>
  </si>
  <si>
    <t xml:space="preserve">R12,R13</t>
  </si>
  <si>
    <r>
      <rPr>
        <sz val="10"/>
        <rFont val="Arial"/>
        <family val="2"/>
      </rPr>
      <t xml:space="preserve">04-Batt-Prot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5.1M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</si>
  <si>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0805W8F5104T5E</t>
  </si>
  <si>
    <t xml:space="preserve">R15,R43</t>
  </si>
  <si>
    <r>
      <rPr>
        <sz val="10"/>
        <rFont val="Arial"/>
        <family val="2"/>
      </rPr>
      <t xml:space="preserve">02-DCDC,07-RTC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100K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</si>
  <si>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0805W8F1003T5E</t>
  </si>
  <si>
    <t xml:space="preserve">R16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</si>
  <si>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200K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</si>
  <si>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0805W8F2003T5E</t>
  </si>
  <si>
    <t xml:space="preserve">R17</t>
  </si>
  <si>
    <r>
      <rPr>
        <sz val="10"/>
        <rFont val="Arial"/>
        <family val="2"/>
      </rPr>
      <t xml:space="preserve">02-DCDC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44.2K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</si>
  <si>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0805W8F4422T5E</t>
  </si>
  <si>
    <t xml:space="preserve">R20,R22</t>
  </si>
  <si>
    <r>
      <rPr>
        <sz val="10"/>
        <rFont val="Arial"/>
        <family val="2"/>
      </rPr>
      <t xml:space="preserve">06-MCU-IO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200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</si>
  <si>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0805W8F2200T5E
</t>
  </si>
  <si>
    <t xml:space="preserve">R27,R29</t>
  </si>
  <si>
    <r>
      <rPr>
        <sz val="10"/>
        <rFont val="Arial"/>
        <family val="2"/>
      </rPr>
      <t xml:space="preserve">06-MCU-IO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27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</si>
  <si>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0805W8F270JT5E</t>
  </si>
  <si>
    <t xml:space="preserve">R30,R31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</si>
  <si>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100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</si>
  <si>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0805W8F1000T5E</t>
  </si>
  <si>
    <t xml:space="preserve">R33</t>
  </si>
  <si>
    <r>
      <rPr>
        <sz val="10"/>
        <rFont val="Arial"/>
        <family val="2"/>
      </rPr>
      <t xml:space="preserve">05-MCU-XTAL-FLASH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1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</si>
  <si>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Do Not Populate</t>
  </si>
  <si>
    <t xml:space="preserve">R37,R42</t>
  </si>
  <si>
    <r>
      <rPr>
        <sz val="10"/>
        <rFont val="Arial"/>
        <family val="2"/>
      </rPr>
      <t xml:space="preserve">06-MCU-IO,07-RTC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470</t>
    </r>
    <r>
      <rPr>
        <sz val="10"/>
        <rFont val="宋体"/>
        <family val="0"/>
      </rPr>
      <t xml:space="preserve">『 』</t>
    </r>
    <r>
      <rPr>
        <sz val="10"/>
        <rFont val="Arial"/>
        <family val="2"/>
      </rPr>
      <t xml:space="preserve">Resistor</t>
    </r>
  </si>
  <si>
    <t xml:space="preserve">0805W8F4700T5E</t>
  </si>
  <si>
    <t xml:space="preserve">Component Cost</t>
  </si>
  <si>
    <t xml:space="preserve">Assembly Cost</t>
  </si>
  <si>
    <t xml:space="preserve">PCB Cost</t>
  </si>
  <si>
    <t xml:space="preserve">V0 Member 0% off</t>
  </si>
  <si>
    <t xml:space="preserve">All Total 2 Sets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</si>
</sst>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0.000"/>
    <numFmt numFmtId="166" formatCode="\$0.00"/>
  </numFmts>
  <fonts count="12">
    <font>
      <sz val="12"/>
      <name val="宋体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1"/>
      <name val="Arial"/>
      <family val="2"/>
    </font>
    <font>
      <b val="true"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宋体"/>
      <family val="0"/>
    </font>
    <font>
      <sz val="10"/>
      <name val="Times New Roman"/>
      <family val="1"/>
    </font>
    <font>
      <b val="true"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74880</xdr:colOff>
      <xdr:row>0</xdr:row>
      <xdr:rowOff>67320</xdr:rowOff>
    </xdr:from>
    <xdr:to>
      <xdr:col>2</xdr:col>
      <xdr:colOff>171720</xdr:colOff>
      <xdr:row>0</xdr:row>
      <xdr:rowOff>447840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74880" y="67320"/>
          <a:ext cx="15102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560"/>
  <sheetViews>
    <sheetView showFormulas="false" showGridLines="true" showRowColHeaders="true" showZeros="true" rightToLeft="false" tabSelected="true" showOutlineSymbols="true" defaultGridColor="true" view="normal" topLeftCell="H1" colorId="64" zoomScale="65" zoomScaleNormal="65" zoomScalePageLayoutView="100" workbookViewId="0">
      <selection pane="topLeft" activeCell="P40" activeCellId="0" sqref="P40"/>
    </sheetView>
  </sheetViews>
  <sheetFormatPr defaultColWidth="8.99609375" defaultRowHeight="15" zeroHeight="false" outlineLevelRow="0" outlineLevelCol="0"/>
  <cols>
    <col collapsed="false" customWidth="true" hidden="false" outlineLevel="0" max="1" min="1" style="1" width="6.24"/>
    <col collapsed="false" customWidth="true" hidden="false" outlineLevel="0" max="2" min="2" style="1" width="10.24"/>
    <col collapsed="false" customWidth="true" hidden="false" outlineLevel="0" max="3" min="3" style="1" width="5.37"/>
    <col collapsed="false" customWidth="true" hidden="false" outlineLevel="0" max="4" min="4" style="1" width="12.12"/>
    <col collapsed="false" customWidth="true" hidden="false" outlineLevel="0" max="5" min="5" style="1" width="26.87"/>
    <col collapsed="false" customWidth="true" hidden="false" outlineLevel="0" max="6" min="6" style="1" width="49.99"/>
    <col collapsed="false" customWidth="true" hidden="false" outlineLevel="0" max="7" min="7" style="1" width="20.25"/>
    <col collapsed="false" customWidth="true" hidden="false" outlineLevel="0" max="8" min="8" style="1" width="26.37"/>
    <col collapsed="false" customWidth="true" hidden="false" outlineLevel="0" max="9" min="9" style="1" width="23.99"/>
    <col collapsed="false" customWidth="true" hidden="false" outlineLevel="0" max="10" min="10" style="1" width="17.99"/>
    <col collapsed="false" customWidth="true" hidden="false" outlineLevel="0" max="11" min="11" style="1" width="11.99"/>
    <col collapsed="false" customWidth="true" hidden="false" outlineLevel="0" max="12" min="12" style="1" width="15.99"/>
    <col collapsed="false" customWidth="true" hidden="false" outlineLevel="0" max="13" min="13" style="1" width="25.99"/>
    <col collapsed="false" customWidth="true" hidden="false" outlineLevel="0" max="16" min="14" style="1" width="13.99"/>
    <col collapsed="false" customWidth="false" hidden="false" outlineLevel="0" max="257" min="17" style="1" width="8.99"/>
  </cols>
  <sheetData>
    <row r="1" s="3" customFormat="true" ht="39.9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5.6" hidden="false" customHeight="true" outlineLevel="0" collapsed="false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5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6" t="s">
        <v>15</v>
      </c>
      <c r="P2" s="6" t="s">
        <v>16</v>
      </c>
    </row>
    <row r="3" customFormat="false" ht="17.15" hidden="false" customHeight="false" outlineLevel="0" collapsed="false">
      <c r="A3" s="7" t="n">
        <v>1</v>
      </c>
      <c r="B3" s="7" t="s">
        <v>17</v>
      </c>
      <c r="C3" s="7" t="n">
        <v>1</v>
      </c>
      <c r="D3" s="7"/>
      <c r="E3" s="7"/>
      <c r="F3" s="8" t="s">
        <v>18</v>
      </c>
      <c r="G3" s="7"/>
      <c r="H3" s="7" t="s">
        <v>19</v>
      </c>
      <c r="I3" s="8"/>
      <c r="J3" s="9" t="n">
        <v>0.04</v>
      </c>
      <c r="K3" s="9" t="n">
        <f aca="false">C3*J3*2</f>
        <v>0.08</v>
      </c>
      <c r="L3" s="7"/>
      <c r="M3" s="10" t="s">
        <v>20</v>
      </c>
      <c r="N3" s="8"/>
      <c r="O3" s="7" t="s">
        <v>21</v>
      </c>
      <c r="P3" s="7"/>
    </row>
    <row r="4" customFormat="false" ht="28.7" hidden="false" customHeight="false" outlineLevel="0" collapsed="false">
      <c r="A4" s="7" t="n">
        <v>2</v>
      </c>
      <c r="B4" s="7" t="s">
        <v>22</v>
      </c>
      <c r="C4" s="7" t="n">
        <v>11</v>
      </c>
      <c r="D4" s="7"/>
      <c r="E4" s="7"/>
      <c r="F4" s="8" t="s">
        <v>23</v>
      </c>
      <c r="G4" s="7"/>
      <c r="H4" s="7" t="s">
        <v>19</v>
      </c>
      <c r="I4" s="8"/>
      <c r="J4" s="9" t="n">
        <v>0.006</v>
      </c>
      <c r="K4" s="9" t="n">
        <f aca="false">C4*J4*2</f>
        <v>0.132</v>
      </c>
      <c r="L4" s="7"/>
      <c r="M4" s="10" t="s">
        <v>24</v>
      </c>
      <c r="N4" s="8"/>
      <c r="O4" s="7" t="s">
        <v>21</v>
      </c>
      <c r="P4" s="7"/>
    </row>
    <row r="5" customFormat="false" ht="31.3" hidden="false" customHeight="false" outlineLevel="0" collapsed="false">
      <c r="A5" s="7" t="n">
        <v>3</v>
      </c>
      <c r="B5" s="7" t="s">
        <v>25</v>
      </c>
      <c r="C5" s="7" t="n">
        <v>4</v>
      </c>
      <c r="D5" s="7"/>
      <c r="E5" s="7" t="s">
        <v>26</v>
      </c>
      <c r="F5" s="8" t="s">
        <v>27</v>
      </c>
      <c r="G5" s="7" t="s">
        <v>28</v>
      </c>
      <c r="H5" s="7" t="s">
        <v>19</v>
      </c>
      <c r="I5" s="8" t="s">
        <v>29</v>
      </c>
      <c r="J5" s="9" t="n">
        <v>0.042</v>
      </c>
      <c r="K5" s="9" t="n">
        <f aca="false">C5*J5*2</f>
        <v>0.336</v>
      </c>
      <c r="L5" s="7"/>
      <c r="M5" s="10"/>
      <c r="N5" s="8"/>
      <c r="O5" s="7"/>
      <c r="P5" s="7"/>
    </row>
    <row r="6" customFormat="false" ht="17.15" hidden="false" customHeight="false" outlineLevel="0" collapsed="false">
      <c r="A6" s="7" t="n">
        <v>4</v>
      </c>
      <c r="B6" s="7" t="s">
        <v>30</v>
      </c>
      <c r="C6" s="7" t="n">
        <v>1</v>
      </c>
      <c r="D6" s="7"/>
      <c r="E6" s="7"/>
      <c r="F6" s="8" t="s">
        <v>31</v>
      </c>
      <c r="G6" s="7"/>
      <c r="H6" s="7" t="s">
        <v>19</v>
      </c>
      <c r="I6" s="8"/>
      <c r="J6" s="9" t="n">
        <v>0.044</v>
      </c>
      <c r="K6" s="9" t="n">
        <f aca="false">C6*J6*2</f>
        <v>0.088</v>
      </c>
      <c r="L6" s="7"/>
      <c r="M6" s="10" t="s">
        <v>24</v>
      </c>
      <c r="N6" s="8"/>
      <c r="O6" s="7" t="s">
        <v>21</v>
      </c>
      <c r="P6" s="7"/>
    </row>
    <row r="7" customFormat="false" ht="17.15" hidden="false" customHeight="false" outlineLevel="0" collapsed="false">
      <c r="A7" s="7" t="n">
        <v>5</v>
      </c>
      <c r="B7" s="7" t="s">
        <v>32</v>
      </c>
      <c r="C7" s="7" t="n">
        <v>1</v>
      </c>
      <c r="D7" s="7"/>
      <c r="E7" s="7"/>
      <c r="F7" s="8" t="s">
        <v>33</v>
      </c>
      <c r="G7" s="7"/>
      <c r="H7" s="7" t="s">
        <v>19</v>
      </c>
      <c r="I7" s="8"/>
      <c r="J7" s="9" t="n">
        <v>0.118</v>
      </c>
      <c r="K7" s="9" t="n">
        <f aca="false">C7*J7*2</f>
        <v>0.236</v>
      </c>
      <c r="L7" s="7"/>
      <c r="M7" s="10" t="s">
        <v>34</v>
      </c>
      <c r="N7" s="8"/>
      <c r="O7" s="7" t="s">
        <v>21</v>
      </c>
      <c r="P7" s="7"/>
    </row>
    <row r="8" customFormat="false" ht="28.35" hidden="false" customHeight="false" outlineLevel="0" collapsed="false">
      <c r="A8" s="7" t="n">
        <v>6</v>
      </c>
      <c r="B8" s="7" t="s">
        <v>35</v>
      </c>
      <c r="C8" s="7" t="n">
        <v>1</v>
      </c>
      <c r="D8" s="7" t="s">
        <v>36</v>
      </c>
      <c r="E8" s="7" t="s">
        <v>37</v>
      </c>
      <c r="F8" s="8" t="s">
        <v>38</v>
      </c>
      <c r="G8" s="7" t="s">
        <v>39</v>
      </c>
      <c r="H8" s="7" t="s">
        <v>19</v>
      </c>
      <c r="I8" s="8" t="s">
        <v>40</v>
      </c>
      <c r="J8" s="9" t="n">
        <v>0.172</v>
      </c>
      <c r="K8" s="9" t="n">
        <f aca="false">C8*J8*2</f>
        <v>0.344</v>
      </c>
      <c r="L8" s="7"/>
      <c r="M8" s="10"/>
      <c r="N8" s="8"/>
      <c r="O8" s="7"/>
      <c r="P8" s="7"/>
    </row>
    <row r="9" customFormat="false" ht="17.15" hidden="false" customHeight="false" outlineLevel="0" collapsed="false">
      <c r="A9" s="7" t="n">
        <v>7</v>
      </c>
      <c r="B9" s="7" t="s">
        <v>41</v>
      </c>
      <c r="C9" s="7" t="n">
        <v>1</v>
      </c>
      <c r="D9" s="7"/>
      <c r="E9" s="7"/>
      <c r="F9" s="8" t="s">
        <v>42</v>
      </c>
      <c r="G9" s="7"/>
      <c r="H9" s="7" t="s">
        <v>19</v>
      </c>
      <c r="I9" s="8"/>
      <c r="J9" s="9" t="n">
        <v>0.033</v>
      </c>
      <c r="K9" s="9" t="n">
        <f aca="false">C9*J9*2</f>
        <v>0.066</v>
      </c>
      <c r="L9" s="7"/>
      <c r="M9" s="10" t="s">
        <v>43</v>
      </c>
      <c r="N9" s="8"/>
      <c r="O9" s="7" t="s">
        <v>21</v>
      </c>
      <c r="P9" s="7"/>
    </row>
    <row r="10" customFormat="false" ht="17.15" hidden="false" customHeight="false" outlineLevel="0" collapsed="false">
      <c r="A10" s="7" t="n">
        <v>8</v>
      </c>
      <c r="B10" s="7" t="s">
        <v>44</v>
      </c>
      <c r="C10" s="7" t="n">
        <v>2</v>
      </c>
      <c r="D10" s="7"/>
      <c r="E10" s="7"/>
      <c r="F10" s="8" t="s">
        <v>45</v>
      </c>
      <c r="G10" s="7"/>
      <c r="H10" s="7" t="s">
        <v>19</v>
      </c>
      <c r="I10" s="8"/>
      <c r="J10" s="9" t="n">
        <v>0.023</v>
      </c>
      <c r="K10" s="9" t="n">
        <f aca="false">C10*J10*2</f>
        <v>0.092</v>
      </c>
      <c r="L10" s="7"/>
      <c r="M10" s="10" t="s">
        <v>46</v>
      </c>
      <c r="N10" s="8"/>
      <c r="O10" s="7" t="s">
        <v>21</v>
      </c>
      <c r="P10" s="7"/>
    </row>
    <row r="11" customFormat="false" ht="17.15" hidden="false" customHeight="false" outlineLevel="0" collapsed="false">
      <c r="A11" s="7" t="n">
        <v>9</v>
      </c>
      <c r="B11" s="7" t="s">
        <v>47</v>
      </c>
      <c r="C11" s="7" t="n">
        <v>1</v>
      </c>
      <c r="D11" s="7"/>
      <c r="E11" s="7"/>
      <c r="F11" s="8" t="s">
        <v>48</v>
      </c>
      <c r="G11" s="7"/>
      <c r="H11" s="7" t="s">
        <v>19</v>
      </c>
      <c r="I11" s="8"/>
      <c r="J11" s="9" t="n">
        <v>0.106</v>
      </c>
      <c r="K11" s="9" t="n">
        <f aca="false">C11*J11*2</f>
        <v>0.212</v>
      </c>
      <c r="L11" s="7"/>
      <c r="M11" s="10" t="s">
        <v>49</v>
      </c>
      <c r="N11" s="8"/>
      <c r="O11" s="7" t="s">
        <v>21</v>
      </c>
      <c r="P11" s="7"/>
    </row>
    <row r="12" customFormat="false" ht="17.15" hidden="false" customHeight="false" outlineLevel="0" collapsed="false">
      <c r="A12" s="7" t="n">
        <v>10</v>
      </c>
      <c r="B12" s="7" t="s">
        <v>50</v>
      </c>
      <c r="C12" s="7" t="n">
        <v>3</v>
      </c>
      <c r="D12" s="7"/>
      <c r="E12" s="7"/>
      <c r="F12" s="8" t="s">
        <v>51</v>
      </c>
      <c r="G12" s="7"/>
      <c r="H12" s="7" t="s">
        <v>19</v>
      </c>
      <c r="I12" s="8"/>
      <c r="J12" s="9" t="n">
        <v>0.022</v>
      </c>
      <c r="K12" s="9" t="n">
        <f aca="false">C12*J12*2</f>
        <v>0.132</v>
      </c>
      <c r="L12" s="7"/>
      <c r="M12" s="10" t="s">
        <v>52</v>
      </c>
      <c r="N12" s="8"/>
      <c r="O12" s="7" t="s">
        <v>21</v>
      </c>
      <c r="P12" s="7"/>
    </row>
    <row r="13" customFormat="false" ht="70.1" hidden="false" customHeight="false" outlineLevel="0" collapsed="false">
      <c r="A13" s="7" t="n">
        <v>11</v>
      </c>
      <c r="B13" s="7" t="s">
        <v>53</v>
      </c>
      <c r="C13" s="7" t="n">
        <v>2</v>
      </c>
      <c r="D13" s="7" t="s">
        <v>36</v>
      </c>
      <c r="E13" s="7" t="s">
        <v>54</v>
      </c>
      <c r="F13" s="8" t="s">
        <v>55</v>
      </c>
      <c r="G13" s="7" t="s">
        <v>56</v>
      </c>
      <c r="H13" s="7" t="s">
        <v>57</v>
      </c>
      <c r="I13" s="8" t="s">
        <v>58</v>
      </c>
      <c r="J13" s="9" t="n">
        <v>0.264</v>
      </c>
      <c r="K13" s="9" t="n">
        <f aca="false">C13*J13*2</f>
        <v>1.056</v>
      </c>
      <c r="L13" s="7"/>
      <c r="M13" s="10"/>
      <c r="N13" s="8"/>
      <c r="O13" s="7"/>
      <c r="P13" s="7"/>
    </row>
    <row r="14" customFormat="false" ht="71.15" hidden="false" customHeight="false" outlineLevel="0" collapsed="false">
      <c r="A14" s="7" t="n">
        <v>12</v>
      </c>
      <c r="B14" s="7" t="s">
        <v>59</v>
      </c>
      <c r="C14" s="7" t="n">
        <v>1</v>
      </c>
      <c r="D14" s="7" t="s">
        <v>60</v>
      </c>
      <c r="E14" s="7" t="s">
        <v>61</v>
      </c>
      <c r="F14" s="8" t="s">
        <v>62</v>
      </c>
      <c r="G14" s="7" t="s">
        <v>63</v>
      </c>
      <c r="H14" s="7" t="s">
        <v>64</v>
      </c>
      <c r="I14" s="8" t="s">
        <v>65</v>
      </c>
      <c r="J14" s="9" t="n">
        <v>1.493</v>
      </c>
      <c r="K14" s="9" t="n">
        <f aca="false">C14*J14*2</f>
        <v>2.986</v>
      </c>
      <c r="L14" s="7"/>
      <c r="M14" s="10" t="s">
        <v>66</v>
      </c>
      <c r="N14" s="8"/>
      <c r="O14" s="7" t="s">
        <v>21</v>
      </c>
      <c r="P14" s="7"/>
    </row>
    <row r="15" customFormat="false" ht="36.55" hidden="false" customHeight="false" outlineLevel="0" collapsed="false">
      <c r="A15" s="7" t="n">
        <v>13</v>
      </c>
      <c r="B15" s="7" t="s">
        <v>67</v>
      </c>
      <c r="C15" s="7" t="n">
        <v>1</v>
      </c>
      <c r="D15" s="7" t="s">
        <v>68</v>
      </c>
      <c r="E15" s="7" t="s">
        <v>69</v>
      </c>
      <c r="F15" s="8" t="s">
        <v>70</v>
      </c>
      <c r="G15" s="7" t="s">
        <v>71</v>
      </c>
      <c r="H15" s="7" t="s">
        <v>72</v>
      </c>
      <c r="I15" s="8" t="s">
        <v>73</v>
      </c>
      <c r="J15" s="9" t="n">
        <v>0.255</v>
      </c>
      <c r="K15" s="9" t="n">
        <f aca="false">C15*J15*2</f>
        <v>0.51</v>
      </c>
      <c r="L15" s="7"/>
      <c r="M15" s="10" t="s">
        <v>74</v>
      </c>
      <c r="N15" s="8"/>
      <c r="O15" s="7" t="s">
        <v>21</v>
      </c>
      <c r="P15" s="7"/>
    </row>
    <row r="16" customFormat="false" ht="36.55" hidden="false" customHeight="false" outlineLevel="0" collapsed="false">
      <c r="A16" s="7" t="n">
        <v>14</v>
      </c>
      <c r="B16" s="7" t="s">
        <v>75</v>
      </c>
      <c r="C16" s="7" t="n">
        <v>1</v>
      </c>
      <c r="D16" s="7" t="s">
        <v>76</v>
      </c>
      <c r="E16" s="7" t="s">
        <v>77</v>
      </c>
      <c r="F16" s="8" t="s">
        <v>78</v>
      </c>
      <c r="G16" s="7" t="s">
        <v>79</v>
      </c>
      <c r="H16" s="7" t="s">
        <v>80</v>
      </c>
      <c r="I16" s="8" t="s">
        <v>81</v>
      </c>
      <c r="J16" s="9" t="n">
        <v>0.429</v>
      </c>
      <c r="K16" s="9" t="n">
        <f aca="false">C16*J16*2</f>
        <v>0.858</v>
      </c>
      <c r="L16" s="7"/>
      <c r="M16" s="10"/>
      <c r="N16" s="8"/>
      <c r="O16" s="7"/>
      <c r="P16" s="7"/>
    </row>
    <row r="17" customFormat="false" ht="58.95" hidden="false" customHeight="false" outlineLevel="0" collapsed="false">
      <c r="A17" s="7" t="n">
        <v>15</v>
      </c>
      <c r="B17" s="7" t="s">
        <v>82</v>
      </c>
      <c r="C17" s="7" t="n">
        <v>1</v>
      </c>
      <c r="D17" s="7" t="s">
        <v>83</v>
      </c>
      <c r="E17" s="7" t="s">
        <v>84</v>
      </c>
      <c r="F17" s="8" t="s">
        <v>85</v>
      </c>
      <c r="G17" s="7" t="s">
        <v>86</v>
      </c>
      <c r="H17" s="7" t="s">
        <v>87</v>
      </c>
      <c r="I17" s="8" t="s">
        <v>88</v>
      </c>
      <c r="J17" s="9" t="n">
        <v>0.051</v>
      </c>
      <c r="K17" s="9" t="n">
        <f aca="false">C17*J17*2</f>
        <v>0.102</v>
      </c>
      <c r="L17" s="7"/>
      <c r="M17" s="10"/>
      <c r="N17" s="8"/>
      <c r="O17" s="7"/>
      <c r="P17" s="7"/>
    </row>
    <row r="18" customFormat="false" ht="58.95" hidden="false" customHeight="false" outlineLevel="0" collapsed="false">
      <c r="A18" s="7" t="n">
        <v>16</v>
      </c>
      <c r="B18" s="7" t="s">
        <v>89</v>
      </c>
      <c r="C18" s="7" t="n">
        <v>1</v>
      </c>
      <c r="D18" s="7" t="s">
        <v>83</v>
      </c>
      <c r="E18" s="7" t="s">
        <v>84</v>
      </c>
      <c r="F18" s="8" t="s">
        <v>90</v>
      </c>
      <c r="G18" s="7" t="s">
        <v>86</v>
      </c>
      <c r="H18" s="7" t="s">
        <v>87</v>
      </c>
      <c r="I18" s="8" t="s">
        <v>88</v>
      </c>
      <c r="J18" s="9" t="n">
        <v>0.051</v>
      </c>
      <c r="K18" s="9" t="n">
        <f aca="false">C18*J18*2</f>
        <v>0.102</v>
      </c>
      <c r="L18" s="7"/>
      <c r="M18" s="10"/>
      <c r="N18" s="8"/>
      <c r="O18" s="7"/>
      <c r="P18" s="7"/>
    </row>
    <row r="19" customFormat="false" ht="58.95" hidden="false" customHeight="false" outlineLevel="0" collapsed="false">
      <c r="A19" s="7" t="n">
        <v>17</v>
      </c>
      <c r="B19" s="7" t="s">
        <v>91</v>
      </c>
      <c r="C19" s="7" t="n">
        <v>1</v>
      </c>
      <c r="D19" s="7" t="s">
        <v>83</v>
      </c>
      <c r="E19" s="7" t="s">
        <v>84</v>
      </c>
      <c r="F19" s="8" t="s">
        <v>92</v>
      </c>
      <c r="G19" s="7" t="s">
        <v>86</v>
      </c>
      <c r="H19" s="7" t="s">
        <v>87</v>
      </c>
      <c r="I19" s="8" t="s">
        <v>88</v>
      </c>
      <c r="J19" s="9" t="n">
        <v>0.051</v>
      </c>
      <c r="K19" s="9" t="n">
        <f aca="false">C19*J19*2</f>
        <v>0.102</v>
      </c>
      <c r="L19" s="7"/>
      <c r="M19" s="10"/>
      <c r="N19" s="8"/>
      <c r="O19" s="7"/>
      <c r="P19" s="7"/>
    </row>
    <row r="20" customFormat="false" ht="58.95" hidden="false" customHeight="false" outlineLevel="0" collapsed="false">
      <c r="A20" s="7" t="n">
        <v>18</v>
      </c>
      <c r="B20" s="7" t="s">
        <v>93</v>
      </c>
      <c r="C20" s="7" t="n">
        <v>1</v>
      </c>
      <c r="D20" s="7" t="s">
        <v>94</v>
      </c>
      <c r="E20" s="7" t="s">
        <v>95</v>
      </c>
      <c r="F20" s="8" t="s">
        <v>96</v>
      </c>
      <c r="G20" s="7" t="s">
        <v>97</v>
      </c>
      <c r="H20" s="7" t="s">
        <v>87</v>
      </c>
      <c r="I20" s="8" t="s">
        <v>98</v>
      </c>
      <c r="J20" s="9" t="n">
        <v>0.04</v>
      </c>
      <c r="K20" s="9" t="n">
        <f aca="false">C20*J20*2</f>
        <v>0.08</v>
      </c>
      <c r="L20" s="7"/>
      <c r="M20" s="10"/>
      <c r="N20" s="8"/>
      <c r="O20" s="7"/>
      <c r="P20" s="7"/>
    </row>
    <row r="21" customFormat="false" ht="58.95" hidden="false" customHeight="false" outlineLevel="0" collapsed="false">
      <c r="A21" s="7" t="n">
        <v>19</v>
      </c>
      <c r="B21" s="7" t="s">
        <v>99</v>
      </c>
      <c r="C21" s="7" t="n">
        <v>1</v>
      </c>
      <c r="D21" s="7" t="s">
        <v>83</v>
      </c>
      <c r="E21" s="7" t="s">
        <v>84</v>
      </c>
      <c r="F21" s="8" t="s">
        <v>100</v>
      </c>
      <c r="G21" s="7" t="s">
        <v>86</v>
      </c>
      <c r="H21" s="7" t="s">
        <v>87</v>
      </c>
      <c r="I21" s="8" t="s">
        <v>88</v>
      </c>
      <c r="J21" s="9" t="n">
        <v>0.051</v>
      </c>
      <c r="K21" s="9" t="n">
        <f aca="false">C21*J21*2</f>
        <v>0.102</v>
      </c>
      <c r="L21" s="7"/>
      <c r="M21" s="10"/>
      <c r="N21" s="8"/>
      <c r="O21" s="7"/>
      <c r="P21" s="7"/>
    </row>
    <row r="22" customFormat="false" ht="58.95" hidden="false" customHeight="false" outlineLevel="0" collapsed="false">
      <c r="A22" s="7" t="n">
        <v>20</v>
      </c>
      <c r="B22" s="7" t="s">
        <v>101</v>
      </c>
      <c r="C22" s="7" t="n">
        <v>1</v>
      </c>
      <c r="D22" s="7" t="s">
        <v>94</v>
      </c>
      <c r="E22" s="7" t="s">
        <v>95</v>
      </c>
      <c r="F22" s="8" t="s">
        <v>102</v>
      </c>
      <c r="G22" s="7" t="s">
        <v>97</v>
      </c>
      <c r="H22" s="7" t="s">
        <v>87</v>
      </c>
      <c r="I22" s="8" t="s">
        <v>98</v>
      </c>
      <c r="J22" s="9" t="n">
        <v>0.04</v>
      </c>
      <c r="K22" s="9" t="n">
        <f aca="false">C22*J22*2</f>
        <v>0.08</v>
      </c>
      <c r="L22" s="7"/>
      <c r="M22" s="10"/>
      <c r="N22" s="8"/>
      <c r="O22" s="7"/>
      <c r="P22" s="7"/>
    </row>
    <row r="23" customFormat="false" ht="58.95" hidden="false" customHeight="false" outlineLevel="0" collapsed="false">
      <c r="A23" s="7" t="n">
        <v>21</v>
      </c>
      <c r="B23" s="7" t="s">
        <v>103</v>
      </c>
      <c r="C23" s="7" t="n">
        <v>1</v>
      </c>
      <c r="D23" s="7" t="s">
        <v>94</v>
      </c>
      <c r="E23" s="7" t="s">
        <v>95</v>
      </c>
      <c r="F23" s="8" t="s">
        <v>104</v>
      </c>
      <c r="G23" s="7" t="s">
        <v>97</v>
      </c>
      <c r="H23" s="7" t="s">
        <v>87</v>
      </c>
      <c r="I23" s="8" t="s">
        <v>98</v>
      </c>
      <c r="J23" s="9" t="n">
        <v>0.04</v>
      </c>
      <c r="K23" s="9" t="n">
        <f aca="false">C23*J23*2</f>
        <v>0.08</v>
      </c>
      <c r="L23" s="7"/>
      <c r="M23" s="10"/>
      <c r="N23" s="8"/>
      <c r="O23" s="7"/>
      <c r="P23" s="7"/>
    </row>
    <row r="24" s="15" customFormat="true" ht="70.1" hidden="false" customHeight="false" outlineLevel="0" collapsed="false">
      <c r="A24" s="11" t="n">
        <v>22</v>
      </c>
      <c r="B24" s="11" t="s">
        <v>105</v>
      </c>
      <c r="C24" s="11" t="n">
        <v>1</v>
      </c>
      <c r="D24" s="11" t="s">
        <v>106</v>
      </c>
      <c r="E24" s="11" t="s">
        <v>107</v>
      </c>
      <c r="F24" s="12" t="s">
        <v>108</v>
      </c>
      <c r="G24" s="11" t="s">
        <v>109</v>
      </c>
      <c r="H24" s="11" t="s">
        <v>110</v>
      </c>
      <c r="I24" s="12" t="s">
        <v>111</v>
      </c>
      <c r="J24" s="13" t="n">
        <v>3.28</v>
      </c>
      <c r="K24" s="13" t="n">
        <f aca="false">C24*J24*2</f>
        <v>6.56</v>
      </c>
      <c r="L24" s="11" t="s">
        <v>112</v>
      </c>
      <c r="M24" s="14"/>
      <c r="N24" s="12" t="s">
        <v>113</v>
      </c>
      <c r="O24" s="11" t="s">
        <v>114</v>
      </c>
      <c r="P24" s="11"/>
    </row>
    <row r="25" customFormat="false" ht="47.75" hidden="false" customHeight="false" outlineLevel="0" collapsed="false">
      <c r="A25" s="7" t="n">
        <v>23</v>
      </c>
      <c r="B25" s="7" t="s">
        <v>115</v>
      </c>
      <c r="C25" s="7" t="n">
        <v>1</v>
      </c>
      <c r="D25" s="7" t="s">
        <v>116</v>
      </c>
      <c r="E25" s="7" t="s">
        <v>117</v>
      </c>
      <c r="F25" s="8" t="s">
        <v>118</v>
      </c>
      <c r="G25" s="7" t="s">
        <v>119</v>
      </c>
      <c r="H25" s="7" t="s">
        <v>120</v>
      </c>
      <c r="I25" s="8" t="s">
        <v>121</v>
      </c>
      <c r="J25" s="9" t="n">
        <v>3.735</v>
      </c>
      <c r="K25" s="9" t="n">
        <f aca="false">C25*J25*2</f>
        <v>7.47</v>
      </c>
      <c r="L25" s="7"/>
      <c r="M25" s="10"/>
      <c r="N25" s="8"/>
      <c r="O25" s="7"/>
      <c r="P25" s="7"/>
    </row>
    <row r="26" customFormat="false" ht="98.5" hidden="false" customHeight="false" outlineLevel="0" collapsed="false">
      <c r="A26" s="7" t="n">
        <v>24</v>
      </c>
      <c r="B26" s="7" t="s">
        <v>122</v>
      </c>
      <c r="C26" s="7" t="n">
        <v>1</v>
      </c>
      <c r="D26" s="7" t="s">
        <v>123</v>
      </c>
      <c r="E26" s="7" t="s">
        <v>124</v>
      </c>
      <c r="F26" s="8" t="s">
        <v>125</v>
      </c>
      <c r="G26" s="7" t="s">
        <v>126</v>
      </c>
      <c r="H26" s="7" t="s">
        <v>127</v>
      </c>
      <c r="I26" s="8" t="s">
        <v>128</v>
      </c>
      <c r="J26" s="9" t="n">
        <v>2.103</v>
      </c>
      <c r="K26" s="9" t="n">
        <f aca="false">C26*J26*2</f>
        <v>4.206</v>
      </c>
      <c r="L26" s="7"/>
      <c r="M26" s="10"/>
      <c r="N26" s="8"/>
      <c r="O26" s="7"/>
      <c r="P26" s="7"/>
    </row>
    <row r="27" customFormat="false" ht="36.55" hidden="false" customHeight="false" outlineLevel="0" collapsed="false">
      <c r="A27" s="7" t="n">
        <v>25</v>
      </c>
      <c r="B27" s="7" t="s">
        <v>129</v>
      </c>
      <c r="C27" s="7" t="n">
        <v>1</v>
      </c>
      <c r="D27" s="7" t="s">
        <v>130</v>
      </c>
      <c r="E27" s="7" t="s">
        <v>131</v>
      </c>
      <c r="F27" s="8" t="s">
        <v>132</v>
      </c>
      <c r="G27" s="7" t="s">
        <v>109</v>
      </c>
      <c r="H27" s="7" t="s">
        <v>133</v>
      </c>
      <c r="I27" s="8" t="s">
        <v>134</v>
      </c>
      <c r="J27" s="9" t="n">
        <v>1.277</v>
      </c>
      <c r="K27" s="9" t="n">
        <f aca="false">C27*J27*2</f>
        <v>2.554</v>
      </c>
      <c r="L27" s="7"/>
      <c r="M27" s="10"/>
      <c r="N27" s="8"/>
      <c r="O27" s="7"/>
      <c r="P27" s="7"/>
    </row>
    <row r="28" customFormat="false" ht="28.35" hidden="false" customHeight="false" outlineLevel="0" collapsed="false">
      <c r="A28" s="7" t="n">
        <v>26</v>
      </c>
      <c r="B28" s="7" t="s">
        <v>135</v>
      </c>
      <c r="C28" s="7" t="n">
        <v>1</v>
      </c>
      <c r="D28" s="7" t="s">
        <v>68</v>
      </c>
      <c r="E28" s="7" t="s">
        <v>136</v>
      </c>
      <c r="F28" s="8" t="s">
        <v>137</v>
      </c>
      <c r="G28" s="7" t="s">
        <v>138</v>
      </c>
      <c r="H28" s="7" t="s">
        <v>139</v>
      </c>
      <c r="I28" s="8" t="s">
        <v>140</v>
      </c>
      <c r="J28" s="9" t="n">
        <v>0.08</v>
      </c>
      <c r="K28" s="9" t="n">
        <f aca="false">C28*J28*2</f>
        <v>0.16</v>
      </c>
      <c r="L28" s="7"/>
      <c r="M28" s="10"/>
      <c r="N28" s="8"/>
      <c r="O28" s="7"/>
      <c r="P28" s="7"/>
    </row>
    <row r="29" customFormat="false" ht="58.95" hidden="false" customHeight="false" outlineLevel="0" collapsed="false">
      <c r="A29" s="7" t="n">
        <v>27</v>
      </c>
      <c r="B29" s="7" t="s">
        <v>141</v>
      </c>
      <c r="C29" s="7" t="n">
        <v>2</v>
      </c>
      <c r="D29" s="7" t="s">
        <v>142</v>
      </c>
      <c r="E29" s="7" t="s">
        <v>143</v>
      </c>
      <c r="F29" s="8" t="s">
        <v>144</v>
      </c>
      <c r="G29" s="7" t="s">
        <v>145</v>
      </c>
      <c r="H29" s="7" t="s">
        <v>139</v>
      </c>
      <c r="I29" s="8" t="s">
        <v>146</v>
      </c>
      <c r="J29" s="9" t="n">
        <v>0.11</v>
      </c>
      <c r="K29" s="9" t="n">
        <f aca="false">C29*J29*2</f>
        <v>0.44</v>
      </c>
      <c r="L29" s="7"/>
      <c r="M29" s="10"/>
      <c r="N29" s="8"/>
      <c r="O29" s="7"/>
      <c r="P29" s="7"/>
    </row>
    <row r="30" customFormat="false" ht="36.55" hidden="false" customHeight="false" outlineLevel="0" collapsed="false">
      <c r="A30" s="7" t="n">
        <v>28</v>
      </c>
      <c r="B30" s="7" t="s">
        <v>147</v>
      </c>
      <c r="C30" s="7" t="n">
        <v>6</v>
      </c>
      <c r="D30" s="7" t="s">
        <v>148</v>
      </c>
      <c r="E30" s="7" t="s">
        <v>149</v>
      </c>
      <c r="F30" s="8" t="s">
        <v>150</v>
      </c>
      <c r="G30" s="7" t="s">
        <v>151</v>
      </c>
      <c r="H30" s="7" t="s">
        <v>139</v>
      </c>
      <c r="I30" s="8" t="s">
        <v>152</v>
      </c>
      <c r="J30" s="9" t="n">
        <v>0.094</v>
      </c>
      <c r="K30" s="9" t="n">
        <f aca="false">C30*J30*2</f>
        <v>1.128</v>
      </c>
      <c r="L30" s="7"/>
      <c r="M30" s="10"/>
      <c r="N30" s="8"/>
      <c r="O30" s="7"/>
      <c r="P30" s="7"/>
    </row>
    <row r="31" customFormat="false" ht="47.75" hidden="false" customHeight="false" outlineLevel="0" collapsed="false">
      <c r="A31" s="7" t="n">
        <v>29</v>
      </c>
      <c r="B31" s="7" t="s">
        <v>153</v>
      </c>
      <c r="C31" s="7" t="n">
        <v>1</v>
      </c>
      <c r="D31" s="7" t="s">
        <v>154</v>
      </c>
      <c r="E31" s="7" t="s">
        <v>155</v>
      </c>
      <c r="F31" s="8" t="s">
        <v>156</v>
      </c>
      <c r="G31" s="7" t="s">
        <v>109</v>
      </c>
      <c r="H31" s="7" t="s">
        <v>157</v>
      </c>
      <c r="I31" s="8" t="s">
        <v>158</v>
      </c>
      <c r="J31" s="9" t="n">
        <v>0.734</v>
      </c>
      <c r="K31" s="9" t="n">
        <f aca="false">C31*J31*2</f>
        <v>1.468</v>
      </c>
      <c r="L31" s="7"/>
      <c r="M31" s="10"/>
      <c r="N31" s="8"/>
      <c r="O31" s="7"/>
      <c r="P31" s="7"/>
    </row>
    <row r="32" customFormat="false" ht="36.55" hidden="false" customHeight="false" outlineLevel="0" collapsed="false">
      <c r="A32" s="7" t="n">
        <v>30</v>
      </c>
      <c r="B32" s="7" t="s">
        <v>159</v>
      </c>
      <c r="C32" s="7" t="n">
        <v>1</v>
      </c>
      <c r="D32" s="7" t="s">
        <v>130</v>
      </c>
      <c r="E32" s="7" t="s">
        <v>160</v>
      </c>
      <c r="F32" s="8" t="s">
        <v>161</v>
      </c>
      <c r="G32" s="7" t="s">
        <v>109</v>
      </c>
      <c r="H32" s="7" t="s">
        <v>157</v>
      </c>
      <c r="I32" s="8" t="s">
        <v>162</v>
      </c>
      <c r="J32" s="9" t="n">
        <v>0.068</v>
      </c>
      <c r="K32" s="9" t="n">
        <f aca="false">C32*J32*2</f>
        <v>0.136</v>
      </c>
      <c r="L32" s="7"/>
      <c r="M32" s="10"/>
      <c r="N32" s="8"/>
      <c r="O32" s="7"/>
      <c r="P32" s="7"/>
    </row>
    <row r="33" customFormat="false" ht="47.75" hidden="false" customHeight="false" outlineLevel="0" collapsed="false">
      <c r="A33" s="7" t="n">
        <v>31</v>
      </c>
      <c r="B33" s="7" t="s">
        <v>163</v>
      </c>
      <c r="C33" s="7" t="n">
        <v>1</v>
      </c>
      <c r="D33" s="7" t="s">
        <v>164</v>
      </c>
      <c r="E33" s="7" t="s">
        <v>165</v>
      </c>
      <c r="F33" s="8" t="s">
        <v>166</v>
      </c>
      <c r="G33" s="7" t="s">
        <v>109</v>
      </c>
      <c r="H33" s="7" t="s">
        <v>167</v>
      </c>
      <c r="I33" s="8" t="s">
        <v>168</v>
      </c>
      <c r="J33" s="9" t="n">
        <v>1.088</v>
      </c>
      <c r="K33" s="9" t="n">
        <f aca="false">C33*J33*2</f>
        <v>2.176</v>
      </c>
      <c r="L33" s="7"/>
      <c r="M33" s="10"/>
      <c r="N33" s="8"/>
      <c r="O33" s="7"/>
      <c r="P33" s="7"/>
    </row>
    <row r="34" customFormat="false" ht="70.1" hidden="false" customHeight="false" outlineLevel="0" collapsed="false">
      <c r="A34" s="7" t="n">
        <v>32</v>
      </c>
      <c r="B34" s="7" t="s">
        <v>169</v>
      </c>
      <c r="C34" s="7" t="n">
        <v>1</v>
      </c>
      <c r="D34" s="7" t="s">
        <v>164</v>
      </c>
      <c r="E34" s="7" t="s">
        <v>170</v>
      </c>
      <c r="F34" s="8" t="s">
        <v>171</v>
      </c>
      <c r="G34" s="7" t="s">
        <v>109</v>
      </c>
      <c r="H34" s="7" t="s">
        <v>172</v>
      </c>
      <c r="I34" s="8" t="s">
        <v>173</v>
      </c>
      <c r="J34" s="9" t="n">
        <v>1.213</v>
      </c>
      <c r="K34" s="9" t="n">
        <f aca="false">C34*J34*2</f>
        <v>2.426</v>
      </c>
      <c r="L34" s="7"/>
      <c r="M34" s="10"/>
      <c r="N34" s="8"/>
      <c r="O34" s="7"/>
      <c r="P34" s="7"/>
    </row>
    <row r="35" customFormat="false" ht="47.75" hidden="false" customHeight="false" outlineLevel="0" collapsed="false">
      <c r="A35" s="7" t="n">
        <v>33</v>
      </c>
      <c r="B35" s="7" t="s">
        <v>174</v>
      </c>
      <c r="C35" s="7" t="n">
        <v>1</v>
      </c>
      <c r="D35" s="7" t="s">
        <v>175</v>
      </c>
      <c r="E35" s="7" t="s">
        <v>176</v>
      </c>
      <c r="F35" s="8" t="s">
        <v>177</v>
      </c>
      <c r="G35" s="7" t="s">
        <v>109</v>
      </c>
      <c r="H35" s="7" t="s">
        <v>178</v>
      </c>
      <c r="I35" s="8" t="s">
        <v>179</v>
      </c>
      <c r="J35" s="9" t="n">
        <v>0.86</v>
      </c>
      <c r="K35" s="9" t="n">
        <f aca="false">C35*J35*2</f>
        <v>1.72</v>
      </c>
      <c r="L35" s="7" t="s">
        <v>112</v>
      </c>
      <c r="M35" s="10"/>
      <c r="N35" s="8"/>
      <c r="O35" s="7"/>
      <c r="P35" s="7"/>
    </row>
    <row r="36" customFormat="false" ht="47.75" hidden="false" customHeight="false" outlineLevel="0" collapsed="false">
      <c r="A36" s="7" t="n">
        <v>34</v>
      </c>
      <c r="B36" s="7" t="s">
        <v>180</v>
      </c>
      <c r="C36" s="7" t="n">
        <v>1</v>
      </c>
      <c r="D36" s="7" t="s">
        <v>181</v>
      </c>
      <c r="E36" s="7" t="s">
        <v>182</v>
      </c>
      <c r="F36" s="8" t="s">
        <v>183</v>
      </c>
      <c r="G36" s="7" t="s">
        <v>184</v>
      </c>
      <c r="H36" s="7" t="s">
        <v>185</v>
      </c>
      <c r="I36" s="8" t="s">
        <v>186</v>
      </c>
      <c r="J36" s="9" t="n">
        <v>0.485</v>
      </c>
      <c r="K36" s="9" t="n">
        <f aca="false">C36*J36*2</f>
        <v>0.97</v>
      </c>
      <c r="L36" s="7"/>
      <c r="M36" s="10"/>
      <c r="N36" s="8"/>
      <c r="O36" s="7"/>
      <c r="P36" s="7"/>
    </row>
    <row r="37" customFormat="false" ht="47.75" hidden="false" customHeight="false" outlineLevel="0" collapsed="false">
      <c r="A37" s="7" t="n">
        <v>35</v>
      </c>
      <c r="B37" s="7" t="s">
        <v>187</v>
      </c>
      <c r="C37" s="7" t="n">
        <v>1</v>
      </c>
      <c r="D37" s="7" t="s">
        <v>60</v>
      </c>
      <c r="E37" s="7" t="s">
        <v>188</v>
      </c>
      <c r="F37" s="8" t="s">
        <v>189</v>
      </c>
      <c r="G37" s="7" t="s">
        <v>190</v>
      </c>
      <c r="H37" s="7" t="s">
        <v>191</v>
      </c>
      <c r="I37" s="8" t="s">
        <v>192</v>
      </c>
      <c r="J37" s="9" t="n">
        <v>1.095</v>
      </c>
      <c r="K37" s="9" t="n">
        <f aca="false">C37*J37*2</f>
        <v>2.19</v>
      </c>
      <c r="L37" s="7"/>
      <c r="M37" s="10"/>
      <c r="N37" s="8"/>
      <c r="O37" s="7"/>
      <c r="P37" s="7"/>
    </row>
    <row r="38" customFormat="false" ht="17.15" hidden="false" customHeight="false" outlineLevel="0" collapsed="false">
      <c r="A38" s="7" t="n">
        <v>36</v>
      </c>
      <c r="B38" s="7" t="s">
        <v>193</v>
      </c>
      <c r="C38" s="7" t="n">
        <v>17</v>
      </c>
      <c r="D38" s="7"/>
      <c r="E38" s="7"/>
      <c r="F38" s="8" t="s">
        <v>194</v>
      </c>
      <c r="G38" s="7"/>
      <c r="H38" s="7" t="s">
        <v>195</v>
      </c>
      <c r="I38" s="8"/>
      <c r="J38" s="9" t="n">
        <v>0.004</v>
      </c>
      <c r="K38" s="9" t="n">
        <f aca="false">C38*J38*2</f>
        <v>0.136</v>
      </c>
      <c r="L38" s="7"/>
      <c r="M38" s="10" t="s">
        <v>196</v>
      </c>
      <c r="N38" s="8"/>
      <c r="O38" s="7"/>
      <c r="P38" s="7"/>
    </row>
    <row r="39" customFormat="false" ht="17.15" hidden="false" customHeight="false" outlineLevel="0" collapsed="false">
      <c r="A39" s="7" t="n">
        <v>37</v>
      </c>
      <c r="B39" s="7" t="s">
        <v>197</v>
      </c>
      <c r="C39" s="7" t="n">
        <v>2</v>
      </c>
      <c r="D39" s="7"/>
      <c r="E39" s="7"/>
      <c r="F39" s="8" t="s">
        <v>198</v>
      </c>
      <c r="G39" s="7"/>
      <c r="H39" s="7" t="s">
        <v>195</v>
      </c>
      <c r="I39" s="8"/>
      <c r="J39" s="9" t="n">
        <v>0.019</v>
      </c>
      <c r="K39" s="9" t="n">
        <f aca="false">C39*J39*2</f>
        <v>0.076</v>
      </c>
      <c r="L39" s="7"/>
      <c r="M39" s="10" t="s">
        <v>199</v>
      </c>
      <c r="N39" s="8"/>
      <c r="O39" s="7"/>
      <c r="P39" s="7"/>
    </row>
    <row r="40" customFormat="false" ht="28.35" hidden="false" customHeight="false" outlineLevel="0" collapsed="false">
      <c r="A40" s="7" t="n">
        <v>38</v>
      </c>
      <c r="B40" s="7" t="s">
        <v>200</v>
      </c>
      <c r="C40" s="7" t="n">
        <v>7</v>
      </c>
      <c r="D40" s="7"/>
      <c r="E40" s="7"/>
      <c r="F40" s="8" t="s">
        <v>201</v>
      </c>
      <c r="G40" s="7"/>
      <c r="H40" s="7" t="s">
        <v>195</v>
      </c>
      <c r="I40" s="8"/>
      <c r="J40" s="9" t="n">
        <v>0.007</v>
      </c>
      <c r="K40" s="9" t="n">
        <f aca="false">C40*J40*2</f>
        <v>0.098</v>
      </c>
      <c r="L40" s="7"/>
      <c r="M40" s="10" t="s">
        <v>202</v>
      </c>
      <c r="N40" s="8"/>
      <c r="O40" s="7"/>
      <c r="P40" s="7"/>
    </row>
    <row r="41" customFormat="false" ht="17.15" hidden="false" customHeight="false" outlineLevel="0" collapsed="false">
      <c r="A41" s="7" t="n">
        <v>39</v>
      </c>
      <c r="B41" s="7" t="s">
        <v>203</v>
      </c>
      <c r="C41" s="7" t="n">
        <v>4</v>
      </c>
      <c r="D41" s="7"/>
      <c r="E41" s="7"/>
      <c r="F41" s="8" t="s">
        <v>204</v>
      </c>
      <c r="G41" s="7"/>
      <c r="H41" s="7" t="s">
        <v>195</v>
      </c>
      <c r="I41" s="8"/>
      <c r="J41" s="9" t="n">
        <v>0.009</v>
      </c>
      <c r="K41" s="9" t="n">
        <f aca="false">C41*J41*2</f>
        <v>0.072</v>
      </c>
      <c r="L41" s="7"/>
      <c r="M41" s="10" t="s">
        <v>205</v>
      </c>
      <c r="N41" s="8"/>
      <c r="O41" s="7"/>
      <c r="P41" s="7"/>
    </row>
    <row r="42" customFormat="false" ht="17.15" hidden="false" customHeight="false" outlineLevel="0" collapsed="false">
      <c r="A42" s="7" t="n">
        <v>40</v>
      </c>
      <c r="B42" s="7" t="s">
        <v>206</v>
      </c>
      <c r="C42" s="7" t="n">
        <v>1</v>
      </c>
      <c r="D42" s="7"/>
      <c r="E42" s="7"/>
      <c r="F42" s="8" t="s">
        <v>207</v>
      </c>
      <c r="G42" s="7"/>
      <c r="H42" s="7" t="s">
        <v>195</v>
      </c>
      <c r="I42" s="8"/>
      <c r="J42" s="9" t="n">
        <v>0.033</v>
      </c>
      <c r="K42" s="9" t="n">
        <f aca="false">C42*J42*2</f>
        <v>0.066</v>
      </c>
      <c r="L42" s="7"/>
      <c r="M42" s="10" t="s">
        <v>208</v>
      </c>
      <c r="N42" s="8"/>
      <c r="O42" s="7"/>
      <c r="P42" s="7"/>
    </row>
    <row r="43" s="15" customFormat="true" ht="25.35" hidden="false" customHeight="false" outlineLevel="0" collapsed="false">
      <c r="A43" s="11" t="n">
        <v>41</v>
      </c>
      <c r="B43" s="11" t="s">
        <v>209</v>
      </c>
      <c r="C43" s="11" t="n">
        <v>1</v>
      </c>
      <c r="D43" s="11"/>
      <c r="E43" s="11"/>
      <c r="F43" s="12" t="s">
        <v>210</v>
      </c>
      <c r="G43" s="11"/>
      <c r="H43" s="11" t="s">
        <v>195</v>
      </c>
      <c r="I43" s="12"/>
      <c r="J43" s="13"/>
      <c r="K43" s="13"/>
      <c r="L43" s="11"/>
      <c r="M43" s="14"/>
      <c r="N43" s="12" t="s">
        <v>211</v>
      </c>
      <c r="O43" s="11" t="s">
        <v>212</v>
      </c>
      <c r="P43" s="11"/>
    </row>
    <row r="44" s="15" customFormat="true" ht="25.25" hidden="false" customHeight="false" outlineLevel="0" collapsed="false">
      <c r="A44" s="11" t="n">
        <v>42</v>
      </c>
      <c r="B44" s="11" t="s">
        <v>213</v>
      </c>
      <c r="C44" s="11" t="n">
        <v>1</v>
      </c>
      <c r="D44" s="11"/>
      <c r="E44" s="11"/>
      <c r="F44" s="12" t="s">
        <v>214</v>
      </c>
      <c r="G44" s="11"/>
      <c r="H44" s="11" t="s">
        <v>195</v>
      </c>
      <c r="I44" s="12"/>
      <c r="J44" s="13"/>
      <c r="K44" s="13"/>
      <c r="L44" s="11"/>
      <c r="M44" s="14"/>
      <c r="N44" s="12" t="s">
        <v>211</v>
      </c>
      <c r="O44" s="16" t="s">
        <v>215</v>
      </c>
      <c r="P44" s="11"/>
    </row>
    <row r="45" customFormat="false" ht="17.15" hidden="false" customHeight="false" outlineLevel="0" collapsed="false">
      <c r="A45" s="7" t="n">
        <v>43</v>
      </c>
      <c r="B45" s="7" t="s">
        <v>216</v>
      </c>
      <c r="C45" s="7" t="n">
        <v>1</v>
      </c>
      <c r="D45" s="7"/>
      <c r="E45" s="7"/>
      <c r="F45" s="8" t="s">
        <v>217</v>
      </c>
      <c r="G45" s="7"/>
      <c r="H45" s="7" t="s">
        <v>195</v>
      </c>
      <c r="I45" s="8"/>
      <c r="J45" s="9" t="n">
        <v>0.038</v>
      </c>
      <c r="K45" s="9" t="n">
        <f aca="false">C45*J45*2</f>
        <v>0.076</v>
      </c>
      <c r="L45" s="7"/>
      <c r="M45" s="10" t="s">
        <v>218</v>
      </c>
      <c r="N45" s="8"/>
      <c r="O45" s="7"/>
      <c r="P45" s="7"/>
    </row>
    <row r="46" customFormat="false" ht="17.15" hidden="false" customHeight="false" outlineLevel="0" collapsed="false">
      <c r="A46" s="7" t="n">
        <v>44</v>
      </c>
      <c r="B46" s="7" t="s">
        <v>219</v>
      </c>
      <c r="C46" s="7" t="n">
        <v>2</v>
      </c>
      <c r="D46" s="7"/>
      <c r="E46" s="7"/>
      <c r="F46" s="8" t="s">
        <v>220</v>
      </c>
      <c r="G46" s="7"/>
      <c r="H46" s="7" t="s">
        <v>195</v>
      </c>
      <c r="I46" s="8"/>
      <c r="J46" s="9" t="n">
        <v>0.015</v>
      </c>
      <c r="K46" s="9" t="n">
        <f aca="false">C46*J46*2</f>
        <v>0.06</v>
      </c>
      <c r="L46" s="7"/>
      <c r="M46" s="10" t="s">
        <v>221</v>
      </c>
      <c r="N46" s="8"/>
      <c r="O46" s="7"/>
      <c r="P46" s="7"/>
    </row>
    <row r="47" customFormat="false" ht="17.15" hidden="false" customHeight="false" outlineLevel="0" collapsed="false">
      <c r="A47" s="7" t="n">
        <v>45</v>
      </c>
      <c r="B47" s="7" t="s">
        <v>222</v>
      </c>
      <c r="C47" s="7" t="n">
        <v>2</v>
      </c>
      <c r="D47" s="7"/>
      <c r="E47" s="7"/>
      <c r="F47" s="8" t="s">
        <v>223</v>
      </c>
      <c r="G47" s="7"/>
      <c r="H47" s="7" t="s">
        <v>195</v>
      </c>
      <c r="I47" s="8"/>
      <c r="J47" s="9" t="n">
        <v>0.012</v>
      </c>
      <c r="K47" s="9" t="n">
        <f aca="false">C47*J47*2</f>
        <v>0.048</v>
      </c>
      <c r="L47" s="7"/>
      <c r="M47" s="10" t="s">
        <v>224</v>
      </c>
      <c r="N47" s="8"/>
      <c r="O47" s="7"/>
      <c r="P47" s="7"/>
    </row>
    <row r="48" customFormat="false" ht="17.15" hidden="false" customHeight="false" outlineLevel="0" collapsed="false">
      <c r="A48" s="7" t="n">
        <v>46</v>
      </c>
      <c r="B48" s="7" t="s">
        <v>225</v>
      </c>
      <c r="C48" s="7" t="n">
        <v>1</v>
      </c>
      <c r="D48" s="7"/>
      <c r="E48" s="7"/>
      <c r="F48" s="8" t="s">
        <v>226</v>
      </c>
      <c r="G48" s="7"/>
      <c r="H48" s="7" t="s">
        <v>195</v>
      </c>
      <c r="I48" s="8"/>
      <c r="J48" s="9" t="n">
        <v>0.024</v>
      </c>
      <c r="K48" s="9" t="n">
        <f aca="false">C48*J48*2</f>
        <v>0.048</v>
      </c>
      <c r="L48" s="7"/>
      <c r="M48" s="10" t="s">
        <v>227</v>
      </c>
      <c r="N48" s="8"/>
      <c r="O48" s="7"/>
      <c r="P48" s="7"/>
    </row>
    <row r="49" customFormat="false" ht="17.15" hidden="false" customHeight="false" outlineLevel="0" collapsed="false">
      <c r="A49" s="7" t="n">
        <v>47</v>
      </c>
      <c r="B49" s="7" t="s">
        <v>228</v>
      </c>
      <c r="C49" s="7" t="n">
        <v>1</v>
      </c>
      <c r="D49" s="7"/>
      <c r="E49" s="7"/>
      <c r="F49" s="8" t="s">
        <v>229</v>
      </c>
      <c r="G49" s="7"/>
      <c r="H49" s="7" t="s">
        <v>195</v>
      </c>
      <c r="I49" s="8"/>
      <c r="J49" s="9" t="n">
        <v>0.15</v>
      </c>
      <c r="K49" s="9" t="n">
        <f aca="false">C49*J49*2</f>
        <v>0.3</v>
      </c>
      <c r="L49" s="7"/>
      <c r="M49" s="10" t="s">
        <v>230</v>
      </c>
      <c r="N49" s="8"/>
      <c r="O49" s="7"/>
      <c r="P49" s="7"/>
    </row>
    <row r="50" s="15" customFormat="true" ht="25.35" hidden="false" customHeight="false" outlineLevel="0" collapsed="false">
      <c r="A50" s="11" t="n">
        <v>48</v>
      </c>
      <c r="B50" s="11" t="s">
        <v>231</v>
      </c>
      <c r="C50" s="11" t="n">
        <v>2</v>
      </c>
      <c r="D50" s="11"/>
      <c r="E50" s="11"/>
      <c r="F50" s="12" t="s">
        <v>232</v>
      </c>
      <c r="G50" s="11"/>
      <c r="H50" s="11" t="s">
        <v>195</v>
      </c>
      <c r="I50" s="12"/>
      <c r="J50" s="13"/>
      <c r="K50" s="13"/>
      <c r="L50" s="11"/>
      <c r="M50" s="14"/>
      <c r="N50" s="12" t="s">
        <v>211</v>
      </c>
      <c r="O50" s="12" t="s">
        <v>233</v>
      </c>
      <c r="P50" s="11"/>
    </row>
    <row r="51" s="15" customFormat="true" ht="25.35" hidden="false" customHeight="false" outlineLevel="0" collapsed="false">
      <c r="A51" s="11" t="n">
        <v>49</v>
      </c>
      <c r="B51" s="11" t="s">
        <v>234</v>
      </c>
      <c r="C51" s="11" t="n">
        <v>2</v>
      </c>
      <c r="D51" s="11"/>
      <c r="E51" s="11"/>
      <c r="F51" s="12" t="s">
        <v>235</v>
      </c>
      <c r="G51" s="11"/>
      <c r="H51" s="11" t="s">
        <v>195</v>
      </c>
      <c r="I51" s="12"/>
      <c r="J51" s="13"/>
      <c r="K51" s="13"/>
      <c r="L51" s="11"/>
      <c r="M51" s="14"/>
      <c r="N51" s="12" t="s">
        <v>211</v>
      </c>
      <c r="O51" s="16" t="s">
        <v>236</v>
      </c>
      <c r="P51" s="11"/>
    </row>
    <row r="52" s="15" customFormat="true" ht="25.35" hidden="false" customHeight="false" outlineLevel="0" collapsed="false">
      <c r="A52" s="11" t="n">
        <v>50</v>
      </c>
      <c r="B52" s="11" t="s">
        <v>237</v>
      </c>
      <c r="C52" s="11" t="n">
        <v>2</v>
      </c>
      <c r="D52" s="11"/>
      <c r="E52" s="11"/>
      <c r="F52" s="12" t="s">
        <v>238</v>
      </c>
      <c r="G52" s="11"/>
      <c r="H52" s="11" t="s">
        <v>195</v>
      </c>
      <c r="I52" s="12"/>
      <c r="J52" s="13"/>
      <c r="K52" s="13"/>
      <c r="L52" s="11"/>
      <c r="M52" s="14"/>
      <c r="N52" s="12" t="s">
        <v>211</v>
      </c>
      <c r="O52" s="16" t="s">
        <v>239</v>
      </c>
      <c r="P52" s="11"/>
    </row>
    <row r="53" s="15" customFormat="true" ht="25.35" hidden="false" customHeight="false" outlineLevel="0" collapsed="false">
      <c r="A53" s="11" t="n">
        <v>51</v>
      </c>
      <c r="B53" s="11" t="s">
        <v>240</v>
      </c>
      <c r="C53" s="11" t="n">
        <v>1</v>
      </c>
      <c r="D53" s="11"/>
      <c r="E53" s="11"/>
      <c r="F53" s="12" t="s">
        <v>241</v>
      </c>
      <c r="G53" s="11"/>
      <c r="H53" s="11" t="s">
        <v>195</v>
      </c>
      <c r="I53" s="12"/>
      <c r="J53" s="13"/>
      <c r="K53" s="13"/>
      <c r="L53" s="11"/>
      <c r="M53" s="14"/>
      <c r="N53" s="12" t="s">
        <v>211</v>
      </c>
      <c r="O53" s="11" t="s">
        <v>242</v>
      </c>
      <c r="P53" s="11"/>
    </row>
    <row r="54" s="15" customFormat="true" ht="25.35" hidden="false" customHeight="false" outlineLevel="0" collapsed="false">
      <c r="A54" s="11" t="n">
        <v>52</v>
      </c>
      <c r="B54" s="11" t="s">
        <v>243</v>
      </c>
      <c r="C54" s="11" t="n">
        <v>2</v>
      </c>
      <c r="D54" s="11"/>
      <c r="E54" s="11"/>
      <c r="F54" s="12" t="s">
        <v>244</v>
      </c>
      <c r="G54" s="11"/>
      <c r="H54" s="11" t="s">
        <v>195</v>
      </c>
      <c r="I54" s="12"/>
      <c r="J54" s="13"/>
      <c r="K54" s="13"/>
      <c r="L54" s="11"/>
      <c r="M54" s="14"/>
      <c r="N54" s="12" t="s">
        <v>211</v>
      </c>
      <c r="O54" s="16" t="s">
        <v>245</v>
      </c>
      <c r="P54" s="11"/>
    </row>
    <row r="55" customFormat="false" ht="17" hidden="false" customHeight="false" outlineLevel="0" collapsed="false">
      <c r="J55" s="7" t="s">
        <v>246</v>
      </c>
      <c r="K55" s="17" t="n">
        <f aca="false">SUM(K3:K54)</f>
        <v>42.36</v>
      </c>
    </row>
    <row r="56" customFormat="false" ht="17" hidden="false" customHeight="false" outlineLevel="0" collapsed="false">
      <c r="J56" s="7" t="s">
        <v>247</v>
      </c>
      <c r="K56" s="17"/>
    </row>
    <row r="57" customFormat="false" ht="17" hidden="false" customHeight="false" outlineLevel="0" collapsed="false">
      <c r="J57" s="7" t="s">
        <v>248</v>
      </c>
      <c r="K57" s="17"/>
    </row>
    <row r="58" customFormat="false" ht="17" hidden="false" customHeight="false" outlineLevel="0" collapsed="false">
      <c r="J58" s="7" t="s">
        <v>249</v>
      </c>
      <c r="K58" s="17" t="n">
        <f aca="false">0*SUM(K56:K57)</f>
        <v>0</v>
      </c>
    </row>
    <row r="59" customFormat="false" ht="17" hidden="false" customHeight="false" outlineLevel="0" collapsed="false">
      <c r="J59" s="7" t="s">
        <v>250</v>
      </c>
      <c r="K59" s="17" t="n">
        <f aca="false">SUM(K55:K58)</f>
        <v>42.36</v>
      </c>
    </row>
    <row r="60" customFormat="false" ht="17" hidden="false" customHeight="false" outlineLevel="0" collapsed="false"/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2020-08-21T10:41:33Z</dcterms:created>
  <dc:creator>Administrator</dc:creator>
  <dc:description/>
  <dc:language>en-US</dc:language>
  <cp:lastModifiedBy/>
  <dcterms:modified xsi:type="dcterms:W3CDTF">2026-02-12T08:47:57Z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  <property fmtid="{D5CDD505-2E9C-101B-9397-08002B2CF9AE}" pid="5" name="ICV">
    <vt:lpwstr>D1E72730CD3B4B91899D222543BDD967_12</vt:lpwstr>
  </property>
  <property fmtid="{D5CDD505-2E9C-101B-9397-08002B2CF9AE}" pid="6" name="KSOProductBuildVer">
    <vt:lpwstr>2052-12.1.0.25225</vt:lpwstr>
  </property>
</Properties>
</file>